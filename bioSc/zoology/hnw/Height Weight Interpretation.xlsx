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<sst xmlns="http://schemas.openxmlformats.org/spreadsheetml/2006/main" count="180" uniqueCount="158">
  <si>
    <t xml:space="preserve">Male data </t>
  </si>
  <si>
    <t xml:space="preserve">Male Height Chart</t>
  </si>
  <si>
    <t xml:space="preserve">Name </t>
  </si>
  <si>
    <t xml:space="preserve">e</t>
  </si>
  <si>
    <t xml:space="preserve">Weight</t>
  </si>
  <si>
    <t xml:space="preserve">Class interval</t>
  </si>
  <si>
    <r>
      <rPr>
        <b val="true"/>
        <sz val="12"/>
        <color rgb="FF000000"/>
        <rFont val="Times New Roman"/>
        <family val="1"/>
        <charset val="1"/>
      </rPr>
      <t xml:space="preserve">f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i (frequency)</t>
    </r>
  </si>
  <si>
    <r>
      <rPr>
        <b val="true"/>
        <sz val="12"/>
        <color rgb="FF000000"/>
        <rFont val="Times New Roman"/>
        <family val="1"/>
        <charset val="1"/>
      </rPr>
      <t xml:space="preserve">c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f</t>
    </r>
  </si>
  <si>
    <r>
      <rPr>
        <b val="true"/>
        <sz val="12"/>
        <color rgb="FF000000"/>
        <rFont val="Times New Roman"/>
        <family val="1"/>
        <charset val="1"/>
      </rPr>
      <t xml:space="preserve">f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i</t>
    </r>
    <r>
      <rPr>
        <b val="true"/>
        <sz val="12"/>
        <color rgb="FF000000"/>
        <rFont val="Times New Roman"/>
        <family val="1"/>
        <charset val="1"/>
      </rPr>
      <t xml:space="preserve">x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i</t>
    </r>
  </si>
  <si>
    <r>
      <rPr>
        <b val="true"/>
        <sz val="12"/>
        <color rgb="FF000000"/>
        <rFont val="Times New Roman"/>
        <family val="1"/>
        <charset val="1"/>
      </rPr>
      <t xml:space="preserve">d = x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i</t>
    </r>
    <r>
      <rPr>
        <b val="true"/>
        <sz val="12"/>
        <color rgb="FF000000"/>
        <rFont val="Times New Roman"/>
        <family val="1"/>
        <charset val="1"/>
      </rPr>
      <t xml:space="preserve">-x</t>
    </r>
  </si>
  <si>
    <r>
      <rPr>
        <b val="true"/>
        <sz val="12"/>
        <color rgb="FF000000"/>
        <rFont val="Times New Roman"/>
        <family val="1"/>
        <charset val="1"/>
      </rPr>
      <t xml:space="preserve">fid</t>
    </r>
    <r>
      <rPr>
        <b val="true"/>
        <vertAlign val="superscript"/>
        <sz val="12"/>
        <color rgb="FF000000"/>
        <rFont val="Times New Roman"/>
        <family val="1"/>
        <charset val="1"/>
      </rPr>
      <t xml:space="preserve">2</t>
    </r>
  </si>
  <si>
    <t xml:space="preserve">Tarun</t>
  </si>
  <si>
    <t xml:space="preserve">158-162</t>
  </si>
  <si>
    <t xml:space="preserve">Mohit</t>
  </si>
  <si>
    <t xml:space="preserve">162-166</t>
  </si>
  <si>
    <t xml:space="preserve">Vikram</t>
  </si>
  <si>
    <t xml:space="preserve">166-170</t>
  </si>
  <si>
    <t xml:space="preserve">Arif</t>
  </si>
  <si>
    <t xml:space="preserve">170-174</t>
  </si>
  <si>
    <t xml:space="preserve">Aquil</t>
  </si>
  <si>
    <t xml:space="preserve">174-178</t>
  </si>
  <si>
    <t xml:space="preserve">Mohd Shehzad</t>
  </si>
  <si>
    <t xml:space="preserve">178-182</t>
  </si>
  <si>
    <t xml:space="preserve">Zunaid</t>
  </si>
  <si>
    <t xml:space="preserve">182-186</t>
  </si>
  <si>
    <t xml:space="preserve">Nafees</t>
  </si>
  <si>
    <t xml:space="preserve">Vijay</t>
  </si>
  <si>
    <t xml:space="preserve">Mukesh</t>
  </si>
  <si>
    <t xml:space="preserve">x = 9496/55 = 172.65</t>
  </si>
  <si>
    <t xml:space="preserve">Jiwan</t>
  </si>
  <si>
    <t xml:space="preserve">sd</t>
  </si>
  <si>
    <t xml:space="preserve">Abid</t>
  </si>
  <si>
    <t xml:space="preserve">Suhail</t>
  </si>
  <si>
    <t xml:space="preserve">Jaani</t>
  </si>
  <si>
    <t xml:space="preserve">Male Weight Chart</t>
  </si>
  <si>
    <t xml:space="preserve">Aman </t>
  </si>
  <si>
    <r>
      <rPr>
        <b val="true"/>
        <sz val="12"/>
        <color rgb="FF000000"/>
        <rFont val="Times New Roman"/>
        <family val="1"/>
        <charset val="1"/>
      </rPr>
      <t xml:space="preserve">f</t>
    </r>
    <r>
      <rPr>
        <b val="true"/>
        <vertAlign val="subscript"/>
        <sz val="12"/>
        <color rgb="FF000000"/>
        <rFont val="Times New Roman"/>
        <family val="1"/>
        <charset val="1"/>
      </rPr>
      <t xml:space="preserve">i</t>
    </r>
  </si>
  <si>
    <t xml:space="preserve">Rakesh</t>
  </si>
  <si>
    <t xml:space="preserve">51-55</t>
  </si>
  <si>
    <t xml:space="preserve">Santosh</t>
  </si>
  <si>
    <t xml:space="preserve">55-59</t>
  </si>
  <si>
    <t xml:space="preserve">Tulshi Ram</t>
  </si>
  <si>
    <t xml:space="preserve">59-63</t>
  </si>
  <si>
    <t xml:space="preserve">Uday</t>
  </si>
  <si>
    <t xml:space="preserve">63-67</t>
  </si>
  <si>
    <t xml:space="preserve">Prem Singh</t>
  </si>
  <si>
    <t xml:space="preserve">67-71</t>
  </si>
  <si>
    <t xml:space="preserve">Kapil</t>
  </si>
  <si>
    <t xml:space="preserve">71-75</t>
  </si>
  <si>
    <t xml:space="preserve">Amil</t>
  </si>
  <si>
    <t xml:space="preserve">75-79</t>
  </si>
  <si>
    <t xml:space="preserve">Tejveer</t>
  </si>
  <si>
    <t xml:space="preserve">79-81</t>
  </si>
  <si>
    <t xml:space="preserve">Aqib khan</t>
  </si>
  <si>
    <t xml:space="preserve">81-85</t>
  </si>
  <si>
    <t xml:space="preserve">Akash</t>
  </si>
  <si>
    <t xml:space="preserve">Furkan</t>
  </si>
  <si>
    <t xml:space="preserve">Jatin</t>
  </si>
  <si>
    <t xml:space="preserve">x= 3631/55</t>
  </si>
  <si>
    <t xml:space="preserve">Ashraf</t>
  </si>
  <si>
    <t xml:space="preserve">Asghar Husain</t>
  </si>
  <si>
    <t xml:space="preserve">Sameer</t>
  </si>
  <si>
    <t xml:space="preserve">Intzar</t>
  </si>
  <si>
    <t xml:space="preserve">Nilesh</t>
  </si>
  <si>
    <t xml:space="preserve">Anshul Gautam</t>
  </si>
  <si>
    <t xml:space="preserve">Pranjal</t>
  </si>
  <si>
    <t xml:space="preserve">Naeem</t>
  </si>
  <si>
    <t xml:space="preserve">Ajaypal</t>
  </si>
  <si>
    <t xml:space="preserve">Saddaam</t>
  </si>
  <si>
    <t xml:space="preserve">Jitendra</t>
  </si>
  <si>
    <t xml:space="preserve">Rohan</t>
  </si>
  <si>
    <t xml:space="preserve">Mohd Maqsood</t>
  </si>
  <si>
    <t xml:space="preserve">Siddhartha</t>
  </si>
  <si>
    <t xml:space="preserve">Mahipal</t>
  </si>
  <si>
    <t xml:space="preserve">Abhisek</t>
  </si>
  <si>
    <t xml:space="preserve">Abhey Pratap</t>
  </si>
  <si>
    <t xml:space="preserve">Veer Bhan</t>
  </si>
  <si>
    <t xml:space="preserve">Ashish</t>
  </si>
  <si>
    <t xml:space="preserve">Sagheer Ahmed</t>
  </si>
  <si>
    <t xml:space="preserve">Harsh</t>
  </si>
  <si>
    <t xml:space="preserve">Anand</t>
  </si>
  <si>
    <t xml:space="preserve">Shahnawaz</t>
  </si>
  <si>
    <t xml:space="preserve">Akshat</t>
  </si>
  <si>
    <t xml:space="preserve">Prakhyat</t>
  </si>
  <si>
    <t xml:space="preserve">Plaksh</t>
  </si>
  <si>
    <t xml:space="preserve">Mayank</t>
  </si>
  <si>
    <t xml:space="preserve">Narain</t>
  </si>
  <si>
    <t xml:space="preserve">Female data</t>
  </si>
  <si>
    <t xml:space="preserve">Name</t>
  </si>
  <si>
    <t xml:space="preserve">Height</t>
  </si>
  <si>
    <t xml:space="preserve">Shubhangi</t>
  </si>
  <si>
    <t xml:space="preserve">Female Height Chart</t>
  </si>
  <si>
    <t xml:space="preserve">Sunidhi</t>
  </si>
  <si>
    <t xml:space="preserve">Rafia</t>
  </si>
  <si>
    <t xml:space="preserve">149-153</t>
  </si>
  <si>
    <t xml:space="preserve">Rahida</t>
  </si>
  <si>
    <t xml:space="preserve">153-157</t>
  </si>
  <si>
    <t xml:space="preserve">Sakshi </t>
  </si>
  <si>
    <t xml:space="preserve">157-161</t>
  </si>
  <si>
    <t xml:space="preserve">Neelam</t>
  </si>
  <si>
    <t xml:space="preserve">161-165</t>
  </si>
  <si>
    <t xml:space="preserve">Usha</t>
  </si>
  <si>
    <t xml:space="preserve">165-169</t>
  </si>
  <si>
    <t xml:space="preserve">Neha</t>
  </si>
  <si>
    <t xml:space="preserve">169-173</t>
  </si>
  <si>
    <t xml:space="preserve">Gunjan</t>
  </si>
  <si>
    <t xml:space="preserve">Sneha</t>
  </si>
  <si>
    <t xml:space="preserve">Khusboo</t>
  </si>
  <si>
    <t xml:space="preserve">Shashi</t>
  </si>
  <si>
    <t xml:space="preserve">Haleema </t>
  </si>
  <si>
    <t xml:space="preserve">x = 7815/49</t>
  </si>
  <si>
    <t xml:space="preserve">Amisha</t>
  </si>
  <si>
    <t xml:space="preserve">Shalini</t>
  </si>
  <si>
    <t xml:space="preserve">Than Dar</t>
  </si>
  <si>
    <t xml:space="preserve">Female Weight Chart</t>
  </si>
  <si>
    <t xml:space="preserve">Priya</t>
  </si>
  <si>
    <t xml:space="preserve">Vandana</t>
  </si>
  <si>
    <t xml:space="preserve">40-44</t>
  </si>
  <si>
    <t xml:space="preserve">Pragati</t>
  </si>
  <si>
    <t xml:space="preserve">44-48</t>
  </si>
  <si>
    <t xml:space="preserve">Bushra</t>
  </si>
  <si>
    <t xml:space="preserve">48-52</t>
  </si>
  <si>
    <t xml:space="preserve">Rinki</t>
  </si>
  <si>
    <t xml:space="preserve">52-56</t>
  </si>
  <si>
    <t xml:space="preserve">Suhani</t>
  </si>
  <si>
    <t xml:space="preserve">56-60</t>
  </si>
  <si>
    <t xml:space="preserve">Avantika</t>
  </si>
  <si>
    <t xml:space="preserve">60-64</t>
  </si>
  <si>
    <t xml:space="preserve">Anisa</t>
  </si>
  <si>
    <t xml:space="preserve">64-68</t>
  </si>
  <si>
    <t xml:space="preserve">Farzana</t>
  </si>
  <si>
    <t xml:space="preserve">68-72</t>
  </si>
  <si>
    <t xml:space="preserve">Akriti</t>
  </si>
  <si>
    <t xml:space="preserve">72-76</t>
  </si>
  <si>
    <t xml:space="preserve">Adeeba</t>
  </si>
  <si>
    <t xml:space="preserve">76-80</t>
  </si>
  <si>
    <t xml:space="preserve">Kumud</t>
  </si>
  <si>
    <t xml:space="preserve">Rairen</t>
  </si>
  <si>
    <t xml:space="preserve">Shikha</t>
  </si>
  <si>
    <t xml:space="preserve">Priya  Chaudhary</t>
  </si>
  <si>
    <t xml:space="preserve">x = 2552/49</t>
  </si>
  <si>
    <t xml:space="preserve">Mehak</t>
  </si>
  <si>
    <t xml:space="preserve">Sonia</t>
  </si>
  <si>
    <t xml:space="preserve">Prakriti</t>
  </si>
  <si>
    <t xml:space="preserve">Shipra</t>
  </si>
  <si>
    <t xml:space="preserve">Vidushi</t>
  </si>
  <si>
    <t xml:space="preserve">vanshika</t>
  </si>
  <si>
    <t xml:space="preserve">Misha</t>
  </si>
  <si>
    <t xml:space="preserve">Vanshika</t>
  </si>
  <si>
    <t xml:space="preserve">Heena</t>
  </si>
  <si>
    <t xml:space="preserve">Pooja</t>
  </si>
  <si>
    <t xml:space="preserve">Jyoti</t>
  </si>
  <si>
    <t xml:space="preserve">Meghna</t>
  </si>
  <si>
    <t xml:space="preserve">Manisha</t>
  </si>
  <si>
    <t xml:space="preserve">Geetika</t>
  </si>
  <si>
    <t xml:space="preserve">Kirti</t>
  </si>
  <si>
    <t xml:space="preserve">Shruti</t>
  </si>
  <si>
    <t xml:space="preserve">Yukta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</si>
</sst>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Times New Roman"/>
      <family val="1"/>
      <charset val="1"/>
    </font>
    <font>
      <b val="true"/>
      <sz val="6"/>
      <color rgb="FF000000"/>
      <name val="Times New Roman"/>
      <family val="1"/>
      <charset val="1"/>
    </font>
    <font>
      <b val="true"/>
      <vertAlign val="subscript"/>
      <sz val="12"/>
      <color rgb="FF000000"/>
      <name val="Times New Roman"/>
      <family val="1"/>
      <charset val="1"/>
    </font>
    <font>
      <b val="true"/>
      <vertAlign val="superscript"/>
      <sz val="12"/>
      <color rgb="FF000000"/>
      <name val="Times New Roman"/>
      <family val="1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Male Height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Sheet1!$F$3:$F$9</c:f>
              <c:strCache>
                <c:ptCount val="7"/>
                <c:pt idx="0">
                  <c:v>158-162</c:v>
                </c:pt>
                <c:pt idx="1">
                  <c:v>162-166</c:v>
                </c:pt>
                <c:pt idx="2">
                  <c:v>166-170</c:v>
                </c:pt>
                <c:pt idx="3">
                  <c:v>170-174</c:v>
                </c:pt>
                <c:pt idx="4">
                  <c:v>174-178</c:v>
                </c:pt>
                <c:pt idx="5">
                  <c:v>178-182</c:v>
                </c:pt>
                <c:pt idx="6">
                  <c:v>182-186</c:v>
                </c:pt>
              </c:strCache>
            </c:strRef>
          </c:cat>
          <c:val>
            <c:numRef>
              <c:f>Sheet1!$H$3:$H$9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  <c:pt idx="5">
                  <c:v>4</c:v>
                </c:pt>
                <c:pt idx="6">
                  <c:v>8</c:v>
                </c:pt>
              </c:numCache>
            </c:numRef>
          </c:val>
        </c:ser>
        <c:gapWidth val="219"/>
        <c:overlap val="-27"/>
        <c:axId val="84945303"/>
        <c:axId val="37335283"/>
      </c:barChart>
      <c:catAx>
        <c:axId val="84945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7335283"/>
        <c:crosses val="autoZero"/>
        <c:auto val="1"/>
        <c:lblAlgn val="ctr"/>
        <c:lblOffset val="100"/>
        <c:noMultiLvlLbl val="0"/>
      </c:catAx>
      <c:valAx>
        <c:axId val="3733528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945303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Female Height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Sheet1!$H$62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Sheet1!$F$63:$F$68</c:f>
              <c:strCache>
                <c:ptCount val="6"/>
                <c:pt idx="0">
                  <c:v>149-153</c:v>
                </c:pt>
                <c:pt idx="1">
                  <c:v>153-157</c:v>
                </c:pt>
                <c:pt idx="2">
                  <c:v>157-161</c:v>
                </c:pt>
                <c:pt idx="3">
                  <c:v>161-165</c:v>
                </c:pt>
                <c:pt idx="4">
                  <c:v>165-169</c:v>
                </c:pt>
                <c:pt idx="5">
                  <c:v>169-173</c:v>
                </c:pt>
              </c:strCache>
            </c:strRef>
          </c:cat>
          <c:val>
            <c:numRef>
              <c:f>Sheet1!$H$63:$H$68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13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</c:ser>
        <c:gapWidth val="219"/>
        <c:overlap val="-27"/>
        <c:axId val="25299799"/>
        <c:axId val="62195059"/>
      </c:barChart>
      <c:catAx>
        <c:axId val="2529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2195059"/>
        <c:crosses val="autoZero"/>
        <c:auto val="1"/>
        <c:lblAlgn val="ctr"/>
        <c:lblOffset val="100"/>
        <c:noMultiLvlLbl val="0"/>
      </c:catAx>
      <c:valAx>
        <c:axId val="621950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529979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Male Weight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Sheet1!$F$18:$F$26</c:f>
              <c:strCache>
                <c:ptCount val="9"/>
                <c:pt idx="0">
                  <c:v>51-55</c:v>
                </c:pt>
                <c:pt idx="1">
                  <c:v>55-59</c:v>
                </c:pt>
                <c:pt idx="2">
                  <c:v>59-63</c:v>
                </c:pt>
                <c:pt idx="3">
                  <c:v>63-67</c:v>
                </c:pt>
                <c:pt idx="4">
                  <c:v>67-71</c:v>
                </c:pt>
                <c:pt idx="5">
                  <c:v>71-75</c:v>
                </c:pt>
                <c:pt idx="6">
                  <c:v>75-79</c:v>
                </c:pt>
                <c:pt idx="7">
                  <c:v>79-81</c:v>
                </c:pt>
                <c:pt idx="8">
                  <c:v>81-85</c:v>
                </c:pt>
              </c:strCache>
            </c:strRef>
          </c:cat>
          <c:val>
            <c:numRef>
              <c:f>Sheet1!$H$18:$H$26</c:f>
              <c:numCache>
                <c:formatCode>General</c:formatCode>
                <c:ptCount val="9"/>
                <c:pt idx="0">
                  <c:v>6</c:v>
                </c:pt>
                <c:pt idx="1">
                  <c:v>4</c:v>
                </c:pt>
                <c:pt idx="2">
                  <c:v>11</c:v>
                </c:pt>
                <c:pt idx="3">
                  <c:v>13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</c:ser>
        <c:gapWidth val="219"/>
        <c:overlap val="-27"/>
        <c:axId val="206489"/>
        <c:axId val="63189508"/>
      </c:barChart>
      <c:catAx>
        <c:axId val="206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189508"/>
        <c:crosses val="autoZero"/>
        <c:auto val="1"/>
        <c:lblAlgn val="ctr"/>
        <c:lblOffset val="100"/>
        <c:noMultiLvlLbl val="0"/>
      </c:catAx>
      <c:valAx>
        <c:axId val="631895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6489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</a:rPr>
              <a:t>Female Weight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cat>
            <c:strRef>
              <c:f>Sheet1!$F$78:$F$87</c:f>
              <c:strCache>
                <c:ptCount val="10"/>
                <c:pt idx="0">
                  <c:v>40-44</c:v>
                </c:pt>
                <c:pt idx="1">
                  <c:v>44-48</c:v>
                </c:pt>
                <c:pt idx="2">
                  <c:v>48-52</c:v>
                </c:pt>
                <c:pt idx="3">
                  <c:v>52-56</c:v>
                </c:pt>
                <c:pt idx="4">
                  <c:v>56-60</c:v>
                </c:pt>
                <c:pt idx="5">
                  <c:v>60-64</c:v>
                </c:pt>
                <c:pt idx="6">
                  <c:v>64-68</c:v>
                </c:pt>
                <c:pt idx="7">
                  <c:v>68-72</c:v>
                </c:pt>
                <c:pt idx="8">
                  <c:v>72-76</c:v>
                </c:pt>
                <c:pt idx="9">
                  <c:v>76-80</c:v>
                </c:pt>
              </c:strCache>
            </c:strRef>
          </c:cat>
          <c:val>
            <c:numRef>
              <c:f>Sheet1!$H$78:$H$87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</c:ser>
        <c:gapWidth val="219"/>
        <c:overlap val="-27"/>
        <c:axId val="74651835"/>
        <c:axId val="86433039"/>
      </c:barChart>
      <c:catAx>
        <c:axId val="74651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433039"/>
        <c:crosses val="autoZero"/>
        <c:auto val="1"/>
        <c:lblAlgn val="ctr"/>
        <c:lblOffset val="100"/>
        <c:noMultiLvlLbl val="0"/>
      </c:catAx>
      <c:valAx>
        <c:axId val="864330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651835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image" Target="../media/image3.png"/><Relationship Id="rId6" Type="http://schemas.openxmlformats.org/officeDocument/2006/relationships/chart" Target="../charts/chart3.xml"/><Relationship Id="rId7" Type="http://schemas.openxmlformats.org/officeDocument/2006/relationships/image" Target="../media/image4.png"/><Relationship Id="rId8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28440</xdr:colOff>
      <xdr:row>1</xdr:row>
      <xdr:rowOff>142920</xdr:rowOff>
    </xdr:from>
    <xdr:to>
      <xdr:col>6</xdr:col>
      <xdr:colOff>570960</xdr:colOff>
      <xdr:row>1</xdr:row>
      <xdr:rowOff>347400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4501080" y="342720"/>
          <a:ext cx="542520" cy="2044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495000</xdr:colOff>
      <xdr:row>1</xdr:row>
      <xdr:rowOff>18720</xdr:rowOff>
    </xdr:from>
    <xdr:to>
      <xdr:col>0</xdr:col>
      <xdr:colOff>590400</xdr:colOff>
      <xdr:row>1</xdr:row>
      <xdr:rowOff>18720</xdr:rowOff>
    </xdr:to>
    <xdr:sp>
      <xdr:nvSpPr>
        <xdr:cNvPr id="1" name="Line 1"/>
        <xdr:cNvSpPr/>
      </xdr:nvSpPr>
      <xdr:spPr>
        <a:xfrm>
          <a:off x="495000" y="218520"/>
          <a:ext cx="95400" cy="0"/>
        </a:xfrm>
        <a:prstGeom prst="line">
          <a:avLst/>
        </a:prstGeom>
        <a:ln w="9360">
          <a:solidFill>
            <a:srgbClr val="4579b8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237960</xdr:colOff>
      <xdr:row>1</xdr:row>
      <xdr:rowOff>195120</xdr:rowOff>
    </xdr:from>
    <xdr:to>
      <xdr:col>19</xdr:col>
      <xdr:colOff>542520</xdr:colOff>
      <xdr:row>13</xdr:row>
      <xdr:rowOff>175680</xdr:rowOff>
    </xdr:to>
    <xdr:graphicFrame>
      <xdr:nvGraphicFramePr>
        <xdr:cNvPr id="2" name="Chart 2"/>
        <xdr:cNvGraphicFramePr/>
      </xdr:nvGraphicFramePr>
      <xdr:xfrm>
        <a:off x="9327240" y="394920"/>
        <a:ext cx="5522760" cy="252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6</xdr:col>
      <xdr:colOff>0</xdr:colOff>
      <xdr:row>61</xdr:row>
      <xdr:rowOff>0</xdr:rowOff>
    </xdr:from>
    <xdr:to>
      <xdr:col>6</xdr:col>
      <xdr:colOff>504360</xdr:colOff>
      <xdr:row>61</xdr:row>
      <xdr:rowOff>190080</xdr:rowOff>
    </xdr:to>
    <xdr:pic>
      <xdr:nvPicPr>
        <xdr:cNvPr id="3" name="Picture 4" descr=""/>
        <xdr:cNvPicPr/>
      </xdr:nvPicPr>
      <xdr:blipFill>
        <a:blip r:embed="rId3"/>
        <a:stretch/>
      </xdr:blipFill>
      <xdr:spPr>
        <a:xfrm>
          <a:off x="4472640" y="12315600"/>
          <a:ext cx="504360" cy="1900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495000</xdr:colOff>
      <xdr:row>75</xdr:row>
      <xdr:rowOff>18720</xdr:rowOff>
    </xdr:from>
    <xdr:to>
      <xdr:col>0</xdr:col>
      <xdr:colOff>590400</xdr:colOff>
      <xdr:row>75</xdr:row>
      <xdr:rowOff>18720</xdr:rowOff>
    </xdr:to>
    <xdr:sp>
      <xdr:nvSpPr>
        <xdr:cNvPr id="4" name="Line 1"/>
        <xdr:cNvSpPr/>
      </xdr:nvSpPr>
      <xdr:spPr>
        <a:xfrm>
          <a:off x="495000" y="15220440"/>
          <a:ext cx="95400" cy="0"/>
        </a:xfrm>
        <a:prstGeom prst="line">
          <a:avLst/>
        </a:prstGeom>
        <a:ln w="9360">
          <a:solidFill>
            <a:srgbClr val="4579b8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304920</xdr:colOff>
      <xdr:row>59</xdr:row>
      <xdr:rowOff>90360</xdr:rowOff>
    </xdr:from>
    <xdr:to>
      <xdr:col>19</xdr:col>
      <xdr:colOff>745200</xdr:colOff>
      <xdr:row>71</xdr:row>
      <xdr:rowOff>128160</xdr:rowOff>
    </xdr:to>
    <xdr:graphicFrame>
      <xdr:nvGraphicFramePr>
        <xdr:cNvPr id="5" name="Chart 6"/>
        <xdr:cNvGraphicFramePr/>
      </xdr:nvGraphicFramePr>
      <xdr:xfrm>
        <a:off x="9394200" y="11824920"/>
        <a:ext cx="5658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6</xdr:col>
      <xdr:colOff>0</xdr:colOff>
      <xdr:row>16</xdr:row>
      <xdr:rowOff>0</xdr:rowOff>
    </xdr:from>
    <xdr:to>
      <xdr:col>6</xdr:col>
      <xdr:colOff>504360</xdr:colOff>
      <xdr:row>16</xdr:row>
      <xdr:rowOff>190080</xdr:rowOff>
    </xdr:to>
    <xdr:pic>
      <xdr:nvPicPr>
        <xdr:cNvPr id="6" name="Picture 8" descr=""/>
        <xdr:cNvPicPr/>
      </xdr:nvPicPr>
      <xdr:blipFill>
        <a:blip r:embed="rId5"/>
        <a:stretch/>
      </xdr:blipFill>
      <xdr:spPr>
        <a:xfrm>
          <a:off x="4472640" y="3323880"/>
          <a:ext cx="504360" cy="1900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495000</xdr:colOff>
      <xdr:row>16</xdr:row>
      <xdr:rowOff>18720</xdr:rowOff>
    </xdr:from>
    <xdr:to>
      <xdr:col>0</xdr:col>
      <xdr:colOff>590400</xdr:colOff>
      <xdr:row>16</xdr:row>
      <xdr:rowOff>18720</xdr:rowOff>
    </xdr:to>
    <xdr:sp>
      <xdr:nvSpPr>
        <xdr:cNvPr id="7" name="Line 1"/>
        <xdr:cNvSpPr/>
      </xdr:nvSpPr>
      <xdr:spPr>
        <a:xfrm>
          <a:off x="495000" y="3342600"/>
          <a:ext cx="95400" cy="0"/>
        </a:xfrm>
        <a:prstGeom prst="line">
          <a:avLst/>
        </a:prstGeom>
        <a:ln w="9360">
          <a:solidFill>
            <a:srgbClr val="4579b8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314280</xdr:colOff>
      <xdr:row>15</xdr:row>
      <xdr:rowOff>100080</xdr:rowOff>
    </xdr:from>
    <xdr:to>
      <xdr:col>20</xdr:col>
      <xdr:colOff>9000</xdr:colOff>
      <xdr:row>28</xdr:row>
      <xdr:rowOff>137880</xdr:rowOff>
    </xdr:to>
    <xdr:graphicFrame>
      <xdr:nvGraphicFramePr>
        <xdr:cNvPr id="8" name="Chart 7"/>
        <xdr:cNvGraphicFramePr/>
      </xdr:nvGraphicFramePr>
      <xdr:xfrm>
        <a:off x="9403560" y="3224160"/>
        <a:ext cx="56584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6</xdr:col>
      <xdr:colOff>0</xdr:colOff>
      <xdr:row>76</xdr:row>
      <xdr:rowOff>0</xdr:rowOff>
    </xdr:from>
    <xdr:to>
      <xdr:col>6</xdr:col>
      <xdr:colOff>504360</xdr:colOff>
      <xdr:row>76</xdr:row>
      <xdr:rowOff>190080</xdr:rowOff>
    </xdr:to>
    <xdr:pic>
      <xdr:nvPicPr>
        <xdr:cNvPr id="9" name="Picture 11" descr=""/>
        <xdr:cNvPicPr/>
      </xdr:nvPicPr>
      <xdr:blipFill>
        <a:blip r:embed="rId7"/>
        <a:stretch/>
      </xdr:blipFill>
      <xdr:spPr>
        <a:xfrm>
          <a:off x="4472640" y="15401880"/>
          <a:ext cx="504360" cy="1900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495000</xdr:colOff>
      <xdr:row>76</xdr:row>
      <xdr:rowOff>18720</xdr:rowOff>
    </xdr:from>
    <xdr:to>
      <xdr:col>0</xdr:col>
      <xdr:colOff>590400</xdr:colOff>
      <xdr:row>76</xdr:row>
      <xdr:rowOff>18720</xdr:rowOff>
    </xdr:to>
    <xdr:sp>
      <xdr:nvSpPr>
        <xdr:cNvPr id="10" name="Line 1"/>
        <xdr:cNvSpPr/>
      </xdr:nvSpPr>
      <xdr:spPr>
        <a:xfrm>
          <a:off x="495000" y="15420600"/>
          <a:ext cx="95400" cy="0"/>
        </a:xfrm>
        <a:prstGeom prst="line">
          <a:avLst/>
        </a:prstGeom>
        <a:ln w="9360">
          <a:solidFill>
            <a:srgbClr val="4579b8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12</xdr:col>
      <xdr:colOff>200160</xdr:colOff>
      <xdr:row>75</xdr:row>
      <xdr:rowOff>166680</xdr:rowOff>
    </xdr:from>
    <xdr:to>
      <xdr:col>19</xdr:col>
      <xdr:colOff>504720</xdr:colOff>
      <xdr:row>89</xdr:row>
      <xdr:rowOff>14040</xdr:rowOff>
    </xdr:to>
    <xdr:graphicFrame>
      <xdr:nvGraphicFramePr>
        <xdr:cNvPr id="11" name="Chart 9"/>
        <xdr:cNvGraphicFramePr/>
      </xdr:nvGraphicFramePr>
      <xdr:xfrm>
        <a:off x="9289440" y="15368400"/>
        <a:ext cx="5522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:C57"/>
    </sheetView>
  </sheetViews>
  <sheetFormatPr defaultColWidth="8.38671875" defaultRowHeight="15" zeroHeight="false" outlineLevelRow="0" outlineLevelCol="0"/>
  <cols>
    <col collapsed="false" customWidth="true" hidden="false" outlineLevel="0" max="8" min="8" style="0" width="10"/>
  </cols>
  <sheetData>
    <row r="1" customFormat="false" ht="15.75" hidden="false" customHeight="false" outlineLevel="0" collapsed="false">
      <c r="A1" s="1" t="s">
        <v>0</v>
      </c>
      <c r="F1" s="1" t="s">
        <v>1</v>
      </c>
    </row>
    <row r="2" customFormat="false" ht="35.25" hidden="false" customHeight="false" outlineLevel="0" collapsed="false">
      <c r="A2" s="1" t="s">
        <v>2</v>
      </c>
      <c r="B2" s="1" t="s">
        <v>3</v>
      </c>
      <c r="C2" s="1" t="s">
        <v>4</v>
      </c>
      <c r="F2" s="2" t="s">
        <v>5</v>
      </c>
      <c r="G2" s="3"/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customFormat="false" ht="15" hidden="false" customHeight="false" outlineLevel="0" collapsed="false">
      <c r="A3" s="0" t="s">
        <v>11</v>
      </c>
      <c r="B3" s="0" t="n">
        <v>162.5</v>
      </c>
      <c r="C3" s="0" t="n">
        <v>51</v>
      </c>
      <c r="F3" s="0" t="s">
        <v>12</v>
      </c>
      <c r="G3" s="0" t="n">
        <v>160</v>
      </c>
      <c r="H3" s="0" t="n">
        <v>5</v>
      </c>
      <c r="I3" s="0" t="n">
        <v>5</v>
      </c>
      <c r="J3" s="0" t="n">
        <v>800</v>
      </c>
      <c r="K3" s="0" t="n">
        <f aca="false">G3-172.65</f>
        <v>-12.65</v>
      </c>
      <c r="L3" s="0" t="n">
        <f aca="false">H3*K3*K3</f>
        <v>800.112500000001</v>
      </c>
    </row>
    <row r="4" customFormat="false" ht="15" hidden="false" customHeight="false" outlineLevel="0" collapsed="false">
      <c r="A4" s="0" t="s">
        <v>13</v>
      </c>
      <c r="B4" s="0" t="n">
        <v>171</v>
      </c>
      <c r="C4" s="0" t="n">
        <v>52</v>
      </c>
      <c r="F4" s="0" t="s">
        <v>14</v>
      </c>
      <c r="G4" s="0" t="n">
        <v>164</v>
      </c>
      <c r="H4" s="0" t="n">
        <v>5</v>
      </c>
      <c r="I4" s="0" t="n">
        <v>10</v>
      </c>
      <c r="J4" s="0" t="n">
        <v>820</v>
      </c>
      <c r="K4" s="0" t="n">
        <f aca="false">G4-172.65</f>
        <v>-8.65000000000001</v>
      </c>
      <c r="L4" s="0" t="n">
        <v>374.125</v>
      </c>
    </row>
    <row r="5" customFormat="false" ht="15" hidden="false" customHeight="false" outlineLevel="0" collapsed="false">
      <c r="A5" s="0" t="s">
        <v>15</v>
      </c>
      <c r="B5" s="0" t="n">
        <v>165</v>
      </c>
      <c r="C5" s="0" t="n">
        <v>54</v>
      </c>
      <c r="F5" s="0" t="s">
        <v>16</v>
      </c>
      <c r="G5" s="0" t="n">
        <v>168</v>
      </c>
      <c r="H5" s="0" t="n">
        <v>8</v>
      </c>
      <c r="I5" s="0" t="n">
        <v>18</v>
      </c>
      <c r="J5" s="0" t="n">
        <v>1344</v>
      </c>
      <c r="K5" s="0" t="n">
        <v>-4.65</v>
      </c>
      <c r="L5" s="0" t="n">
        <v>172.98</v>
      </c>
    </row>
    <row r="6" customFormat="false" ht="15" hidden="false" customHeight="false" outlineLevel="0" collapsed="false">
      <c r="A6" s="0" t="s">
        <v>17</v>
      </c>
      <c r="B6" s="0" t="n">
        <v>167.6</v>
      </c>
      <c r="C6" s="0" t="n">
        <v>54</v>
      </c>
      <c r="F6" s="0" t="s">
        <v>18</v>
      </c>
      <c r="G6" s="0" t="n">
        <v>172</v>
      </c>
      <c r="H6" s="0" t="n">
        <v>15</v>
      </c>
      <c r="I6" s="0" t="n">
        <v>33</v>
      </c>
      <c r="J6" s="0" t="n">
        <v>2580</v>
      </c>
      <c r="K6" s="0" t="n">
        <v>-0.65</v>
      </c>
      <c r="L6" s="0" t="n">
        <v>6.3375</v>
      </c>
    </row>
    <row r="7" customFormat="false" ht="15" hidden="false" customHeight="false" outlineLevel="0" collapsed="false">
      <c r="A7" s="0" t="s">
        <v>19</v>
      </c>
      <c r="B7" s="0" t="n">
        <v>170.7</v>
      </c>
      <c r="C7" s="0" t="n">
        <v>54</v>
      </c>
      <c r="F7" s="0" t="s">
        <v>20</v>
      </c>
      <c r="G7" s="0" t="n">
        <v>176</v>
      </c>
      <c r="H7" s="0" t="n">
        <v>10</v>
      </c>
      <c r="I7" s="0" t="n">
        <v>43</v>
      </c>
      <c r="J7" s="0" t="n">
        <v>1760</v>
      </c>
      <c r="K7" s="0" t="n">
        <v>3.35</v>
      </c>
      <c r="L7" s="0" t="n">
        <v>112.225</v>
      </c>
    </row>
    <row r="8" customFormat="false" ht="15" hidden="false" customHeight="false" outlineLevel="0" collapsed="false">
      <c r="A8" s="0" t="s">
        <v>21</v>
      </c>
      <c r="B8" s="0" t="n">
        <v>160</v>
      </c>
      <c r="C8" s="0" t="n">
        <v>55</v>
      </c>
      <c r="F8" s="0" t="s">
        <v>22</v>
      </c>
      <c r="G8" s="0" t="n">
        <v>180</v>
      </c>
      <c r="H8" s="0" t="n">
        <v>4</v>
      </c>
      <c r="I8" s="0" t="n">
        <v>47</v>
      </c>
      <c r="J8" s="0" t="n">
        <v>720</v>
      </c>
      <c r="K8" s="0" t="n">
        <v>7.35</v>
      </c>
      <c r="L8" s="0" t="n">
        <v>216.09</v>
      </c>
    </row>
    <row r="9" customFormat="false" ht="15" hidden="false" customHeight="false" outlineLevel="0" collapsed="false">
      <c r="A9" s="0" t="s">
        <v>23</v>
      </c>
      <c r="B9" s="0" t="n">
        <v>172.7</v>
      </c>
      <c r="C9" s="0" t="n">
        <v>57</v>
      </c>
      <c r="F9" s="0" t="s">
        <v>24</v>
      </c>
      <c r="G9" s="0" t="n">
        <v>184</v>
      </c>
      <c r="H9" s="0" t="n">
        <v>8</v>
      </c>
      <c r="I9" s="0" t="n">
        <v>55</v>
      </c>
      <c r="J9" s="0" t="n">
        <v>1472</v>
      </c>
      <c r="K9" s="0" t="n">
        <v>11.35</v>
      </c>
      <c r="L9" s="0" t="n">
        <v>1030.58</v>
      </c>
    </row>
    <row r="10" customFormat="false" ht="15" hidden="false" customHeight="false" outlineLevel="0" collapsed="false">
      <c r="A10" s="0" t="s">
        <v>25</v>
      </c>
      <c r="B10" s="0" t="n">
        <v>172.7</v>
      </c>
      <c r="C10" s="0" t="n">
        <v>58</v>
      </c>
      <c r="H10" s="0" t="n">
        <f aca="false">SUM(H3:H9)</f>
        <v>55</v>
      </c>
      <c r="J10" s="0" t="n">
        <f aca="false">SUM(J3:J9)</f>
        <v>9496</v>
      </c>
      <c r="L10" s="0" t="n">
        <f aca="false">SUM(L3:L9)</f>
        <v>2712.45</v>
      </c>
    </row>
    <row r="11" customFormat="false" ht="15" hidden="false" customHeight="false" outlineLevel="0" collapsed="false">
      <c r="A11" s="0" t="s">
        <v>26</v>
      </c>
      <c r="B11" s="0" t="n">
        <v>175</v>
      </c>
      <c r="C11" s="0" t="n">
        <v>58</v>
      </c>
    </row>
    <row r="12" customFormat="false" ht="15" hidden="false" customHeight="false" outlineLevel="0" collapsed="false">
      <c r="A12" s="0" t="s">
        <v>27</v>
      </c>
      <c r="B12" s="0" t="n">
        <v>158</v>
      </c>
      <c r="C12" s="0" t="n">
        <v>59</v>
      </c>
      <c r="H12" s="0" t="s">
        <v>28</v>
      </c>
    </row>
    <row r="13" customFormat="false" ht="15" hidden="false" customHeight="false" outlineLevel="0" collapsed="false">
      <c r="A13" s="0" t="s">
        <v>29</v>
      </c>
      <c r="B13" s="0" t="n">
        <v>163</v>
      </c>
      <c r="C13" s="0" t="n">
        <v>60</v>
      </c>
      <c r="H13" s="0" t="s">
        <v>30</v>
      </c>
      <c r="I13" s="0" t="n">
        <f aca="false">SQRT(L10/H10)</f>
        <v>7.02262577155246</v>
      </c>
    </row>
    <row r="14" customFormat="false" ht="15" hidden="false" customHeight="false" outlineLevel="0" collapsed="false">
      <c r="A14" s="0" t="s">
        <v>31</v>
      </c>
      <c r="B14" s="0" t="n">
        <v>165.1</v>
      </c>
      <c r="C14" s="0" t="n">
        <v>60</v>
      </c>
    </row>
    <row r="15" customFormat="false" ht="15" hidden="false" customHeight="false" outlineLevel="0" collapsed="false">
      <c r="A15" s="0" t="s">
        <v>32</v>
      </c>
      <c r="B15" s="0" t="n">
        <v>167.6</v>
      </c>
      <c r="C15" s="0" t="n">
        <v>60</v>
      </c>
    </row>
    <row r="16" customFormat="false" ht="15.75" hidden="false" customHeight="false" outlineLevel="0" collapsed="false">
      <c r="A16" s="0" t="s">
        <v>33</v>
      </c>
      <c r="B16" s="0" t="n">
        <v>170.1</v>
      </c>
      <c r="C16" s="0" t="n">
        <v>60</v>
      </c>
      <c r="F16" s="1" t="s">
        <v>34</v>
      </c>
    </row>
    <row r="17" customFormat="false" ht="32.25" hidden="false" customHeight="false" outlineLevel="0" collapsed="false">
      <c r="A17" s="0" t="s">
        <v>35</v>
      </c>
      <c r="B17" s="0" t="n">
        <v>172.7</v>
      </c>
      <c r="C17" s="0" t="n">
        <v>60</v>
      </c>
      <c r="F17" s="2" t="s">
        <v>5</v>
      </c>
      <c r="G17" s="3"/>
      <c r="H17" s="4" t="s">
        <v>36</v>
      </c>
      <c r="I17" s="4" t="s">
        <v>7</v>
      </c>
      <c r="J17" s="4" t="s">
        <v>8</v>
      </c>
      <c r="K17" s="4" t="s">
        <v>9</v>
      </c>
      <c r="L17" s="4" t="s">
        <v>10</v>
      </c>
    </row>
    <row r="18" customFormat="false" ht="15" hidden="false" customHeight="false" outlineLevel="0" collapsed="false">
      <c r="A18" s="0" t="s">
        <v>37</v>
      </c>
      <c r="B18" s="0" t="n">
        <v>162</v>
      </c>
      <c r="C18" s="0" t="n">
        <v>62</v>
      </c>
      <c r="F18" s="0" t="s">
        <v>38</v>
      </c>
      <c r="G18" s="0" t="n">
        <v>53</v>
      </c>
      <c r="H18" s="0" t="n">
        <v>6</v>
      </c>
      <c r="I18" s="0" t="n">
        <v>6</v>
      </c>
      <c r="J18" s="0" t="n">
        <v>318</v>
      </c>
      <c r="K18" s="0" t="n">
        <v>-13.01</v>
      </c>
      <c r="L18" s="0" t="n">
        <v>1015.56</v>
      </c>
    </row>
    <row r="19" customFormat="false" ht="15" hidden="false" customHeight="false" outlineLevel="0" collapsed="false">
      <c r="A19" s="0" t="s">
        <v>39</v>
      </c>
      <c r="B19" s="0" t="n">
        <v>168</v>
      </c>
      <c r="C19" s="0" t="n">
        <v>62</v>
      </c>
      <c r="F19" s="0" t="s">
        <v>40</v>
      </c>
      <c r="G19" s="0" t="n">
        <v>57</v>
      </c>
      <c r="H19" s="0" t="n">
        <v>4</v>
      </c>
      <c r="I19" s="0" t="n">
        <v>10</v>
      </c>
      <c r="J19" s="0" t="n">
        <v>228</v>
      </c>
      <c r="K19" s="0" t="n">
        <v>-9.01</v>
      </c>
      <c r="L19" s="0" t="n">
        <v>324.72</v>
      </c>
    </row>
    <row r="20" customFormat="false" ht="15" hidden="false" customHeight="false" outlineLevel="0" collapsed="false">
      <c r="A20" s="0" t="s">
        <v>41</v>
      </c>
      <c r="B20" s="0" t="n">
        <v>168</v>
      </c>
      <c r="C20" s="0" t="n">
        <v>62</v>
      </c>
      <c r="F20" s="0" t="s">
        <v>42</v>
      </c>
      <c r="G20" s="0" t="n">
        <v>61</v>
      </c>
      <c r="H20" s="0" t="n">
        <v>11</v>
      </c>
      <c r="I20" s="0" t="n">
        <v>21</v>
      </c>
      <c r="J20" s="0" t="n">
        <v>671</v>
      </c>
      <c r="K20" s="0" t="n">
        <v>-5.01</v>
      </c>
      <c r="L20" s="0" t="n">
        <v>276.101</v>
      </c>
    </row>
    <row r="21" customFormat="false" ht="15" hidden="false" customHeight="false" outlineLevel="0" collapsed="false">
      <c r="A21" s="0" t="s">
        <v>43</v>
      </c>
      <c r="B21" s="0" t="n">
        <v>172.7</v>
      </c>
      <c r="C21" s="0" t="n">
        <v>62</v>
      </c>
      <c r="F21" s="0" t="s">
        <v>44</v>
      </c>
      <c r="G21" s="0" t="n">
        <v>65</v>
      </c>
      <c r="H21" s="0" t="n">
        <v>13</v>
      </c>
      <c r="I21" s="0" t="n">
        <v>34</v>
      </c>
      <c r="J21" s="0" t="n">
        <v>845</v>
      </c>
      <c r="K21" s="0" t="n">
        <v>-1.01</v>
      </c>
      <c r="L21" s="0" t="n">
        <v>13.261</v>
      </c>
    </row>
    <row r="22" customFormat="false" ht="15" hidden="false" customHeight="false" outlineLevel="0" collapsed="false">
      <c r="A22" s="0" t="s">
        <v>45</v>
      </c>
      <c r="B22" s="0" t="n">
        <v>159</v>
      </c>
      <c r="C22" s="0" t="n">
        <v>63</v>
      </c>
      <c r="F22" s="0" t="s">
        <v>46</v>
      </c>
      <c r="G22" s="0" t="n">
        <v>69</v>
      </c>
      <c r="H22" s="0" t="n">
        <v>6</v>
      </c>
      <c r="I22" s="0" t="n">
        <v>40</v>
      </c>
      <c r="J22" s="0" t="n">
        <v>414</v>
      </c>
      <c r="K22" s="0" t="n">
        <v>2.99</v>
      </c>
      <c r="L22" s="0" t="n">
        <v>53.64</v>
      </c>
    </row>
    <row r="23" customFormat="false" ht="15" hidden="false" customHeight="false" outlineLevel="0" collapsed="false">
      <c r="A23" s="0" t="s">
        <v>47</v>
      </c>
      <c r="B23" s="0" t="n">
        <v>175</v>
      </c>
      <c r="C23" s="0" t="n">
        <v>63</v>
      </c>
      <c r="F23" s="0" t="s">
        <v>48</v>
      </c>
      <c r="G23" s="0" t="n">
        <v>73</v>
      </c>
      <c r="H23" s="0" t="n">
        <v>5</v>
      </c>
      <c r="I23" s="0" t="n">
        <v>45</v>
      </c>
      <c r="J23" s="0" t="n">
        <v>365</v>
      </c>
      <c r="K23" s="0" t="n">
        <v>6.99</v>
      </c>
      <c r="L23" s="0" t="n">
        <v>244.3</v>
      </c>
    </row>
    <row r="24" customFormat="false" ht="15" hidden="false" customHeight="false" outlineLevel="0" collapsed="false">
      <c r="A24" s="0" t="s">
        <v>49</v>
      </c>
      <c r="B24" s="0" t="n">
        <v>167.6</v>
      </c>
      <c r="C24" s="0" t="n">
        <v>64</v>
      </c>
      <c r="F24" s="0" t="s">
        <v>50</v>
      </c>
      <c r="G24" s="0" t="n">
        <v>77</v>
      </c>
      <c r="H24" s="0" t="n">
        <v>6</v>
      </c>
      <c r="I24" s="0" t="n">
        <v>51</v>
      </c>
      <c r="J24" s="0" t="n">
        <v>462</v>
      </c>
      <c r="K24" s="0" t="n">
        <v>10.99</v>
      </c>
      <c r="L24" s="0" t="n">
        <v>724.68</v>
      </c>
    </row>
    <row r="25" customFormat="false" ht="15" hidden="false" customHeight="false" outlineLevel="0" collapsed="false">
      <c r="A25" s="0" t="s">
        <v>51</v>
      </c>
      <c r="B25" s="0" t="n">
        <v>170.1</v>
      </c>
      <c r="C25" s="0" t="n">
        <v>64</v>
      </c>
      <c r="F25" s="0" t="s">
        <v>52</v>
      </c>
      <c r="G25" s="0" t="n">
        <v>81</v>
      </c>
      <c r="H25" s="0" t="n">
        <v>2</v>
      </c>
      <c r="I25" s="0" t="n">
        <v>53</v>
      </c>
      <c r="J25" s="0" t="n">
        <v>162</v>
      </c>
      <c r="K25" s="0" t="n">
        <v>14.99</v>
      </c>
      <c r="L25" s="0" t="n">
        <v>449.4</v>
      </c>
    </row>
    <row r="26" customFormat="false" ht="15" hidden="false" customHeight="false" outlineLevel="0" collapsed="false">
      <c r="A26" s="0" t="s">
        <v>53</v>
      </c>
      <c r="B26" s="0" t="n">
        <v>168</v>
      </c>
      <c r="C26" s="0" t="n">
        <v>65</v>
      </c>
      <c r="F26" s="0" t="s">
        <v>54</v>
      </c>
      <c r="G26" s="0" t="n">
        <v>83</v>
      </c>
      <c r="H26" s="0" t="n">
        <v>2</v>
      </c>
      <c r="I26" s="0" t="n">
        <v>55</v>
      </c>
      <c r="J26" s="0" t="n">
        <v>166</v>
      </c>
      <c r="K26" s="0" t="n">
        <v>16.99</v>
      </c>
      <c r="L26" s="0" t="n">
        <v>577.32</v>
      </c>
    </row>
    <row r="27" customFormat="false" ht="15" hidden="false" customHeight="false" outlineLevel="0" collapsed="false">
      <c r="A27" s="0" t="s">
        <v>55</v>
      </c>
      <c r="B27" s="0" t="n">
        <v>170</v>
      </c>
      <c r="C27" s="0" t="n">
        <v>65</v>
      </c>
      <c r="H27" s="0" t="n">
        <f aca="false">SUM(H18:H26)</f>
        <v>55</v>
      </c>
      <c r="J27" s="0" t="n">
        <f aca="false">SUM(J18:J26)</f>
        <v>3631</v>
      </c>
      <c r="L27" s="0" t="n">
        <f aca="false">SUM(L18:L26)</f>
        <v>3678.982</v>
      </c>
    </row>
    <row r="28" customFormat="false" ht="15" hidden="false" customHeight="false" outlineLevel="0" collapsed="false">
      <c r="A28" s="0" t="s">
        <v>56</v>
      </c>
      <c r="B28" s="0" t="n">
        <v>177.8</v>
      </c>
      <c r="C28" s="0" t="n">
        <v>65</v>
      </c>
    </row>
    <row r="29" customFormat="false" ht="15" hidden="false" customHeight="false" outlineLevel="0" collapsed="false">
      <c r="A29" s="0" t="s">
        <v>57</v>
      </c>
      <c r="B29" s="0" t="n">
        <v>180.3</v>
      </c>
      <c r="C29" s="0" t="n">
        <v>65</v>
      </c>
      <c r="H29" s="0" t="s">
        <v>58</v>
      </c>
      <c r="I29" s="0" t="n">
        <f aca="false">66.01</f>
        <v>66.01</v>
      </c>
    </row>
    <row r="30" customFormat="false" ht="15" hidden="false" customHeight="false" outlineLevel="0" collapsed="false">
      <c r="A30" s="0" t="s">
        <v>59</v>
      </c>
      <c r="B30" s="0" t="n">
        <v>182.8</v>
      </c>
      <c r="C30" s="0" t="n">
        <v>65</v>
      </c>
      <c r="H30" s="0" t="s">
        <v>30</v>
      </c>
      <c r="I30" s="0" t="n">
        <f aca="false">SQRT(L27/H27)</f>
        <v>8.17866626157235</v>
      </c>
    </row>
    <row r="31" customFormat="false" ht="15" hidden="false" customHeight="false" outlineLevel="0" collapsed="false">
      <c r="A31" s="0" t="s">
        <v>60</v>
      </c>
      <c r="B31" s="0" t="n">
        <v>185</v>
      </c>
      <c r="C31" s="0" t="n">
        <v>65</v>
      </c>
    </row>
    <row r="32" customFormat="false" ht="15" hidden="false" customHeight="false" outlineLevel="0" collapsed="false">
      <c r="A32" s="0" t="s">
        <v>61</v>
      </c>
      <c r="B32" s="0" t="n">
        <v>185.4</v>
      </c>
      <c r="C32" s="0" t="n">
        <v>65</v>
      </c>
    </row>
    <row r="33" customFormat="false" ht="15" hidden="false" customHeight="false" outlineLevel="0" collapsed="false">
      <c r="A33" s="0" t="s">
        <v>62</v>
      </c>
      <c r="B33" s="0" t="n">
        <v>162.5</v>
      </c>
      <c r="C33" s="0" t="n">
        <v>66</v>
      </c>
    </row>
    <row r="34" customFormat="false" ht="15" hidden="false" customHeight="false" outlineLevel="0" collapsed="false">
      <c r="A34" s="0" t="s">
        <v>63</v>
      </c>
      <c r="B34" s="0" t="n">
        <v>160</v>
      </c>
      <c r="C34" s="0" t="n">
        <v>67</v>
      </c>
    </row>
    <row r="35" customFormat="false" ht="15" hidden="false" customHeight="false" outlineLevel="0" collapsed="false">
      <c r="A35" s="0" t="s">
        <v>64</v>
      </c>
      <c r="B35" s="0" t="n">
        <v>167</v>
      </c>
      <c r="C35" s="0" t="n">
        <v>67</v>
      </c>
    </row>
    <row r="36" customFormat="false" ht="15" hidden="false" customHeight="false" outlineLevel="0" collapsed="false">
      <c r="A36" s="0" t="s">
        <v>65</v>
      </c>
      <c r="B36" s="0" t="n">
        <v>185.4</v>
      </c>
      <c r="C36" s="0" t="n">
        <v>67</v>
      </c>
    </row>
    <row r="37" customFormat="false" ht="15" hidden="false" customHeight="false" outlineLevel="0" collapsed="false">
      <c r="A37" s="0" t="s">
        <v>66</v>
      </c>
      <c r="B37" s="0" t="n">
        <v>186</v>
      </c>
      <c r="C37" s="0" t="n">
        <v>68</v>
      </c>
    </row>
    <row r="38" customFormat="false" ht="15" hidden="false" customHeight="false" outlineLevel="0" collapsed="false">
      <c r="A38" s="0" t="s">
        <v>67</v>
      </c>
      <c r="B38" s="0" t="n">
        <v>171</v>
      </c>
      <c r="C38" s="0" t="n">
        <v>69</v>
      </c>
    </row>
    <row r="39" customFormat="false" ht="15" hidden="false" customHeight="false" outlineLevel="0" collapsed="false">
      <c r="A39" s="0" t="s">
        <v>68</v>
      </c>
      <c r="B39" s="0" t="n">
        <v>177.8</v>
      </c>
      <c r="C39" s="0" t="n">
        <v>69</v>
      </c>
    </row>
    <row r="40" customFormat="false" ht="15" hidden="false" customHeight="false" outlineLevel="0" collapsed="false">
      <c r="A40" s="0" t="s">
        <v>69</v>
      </c>
      <c r="B40" s="0" t="n">
        <v>172.7</v>
      </c>
      <c r="C40" s="0" t="n">
        <v>69.5</v>
      </c>
    </row>
    <row r="41" customFormat="false" ht="15" hidden="false" customHeight="false" outlineLevel="0" collapsed="false">
      <c r="A41" s="0" t="s">
        <v>70</v>
      </c>
      <c r="B41" s="0" t="n">
        <v>175.2</v>
      </c>
      <c r="C41" s="0" t="n">
        <v>70</v>
      </c>
    </row>
    <row r="42" customFormat="false" ht="15" hidden="false" customHeight="false" outlineLevel="0" collapsed="false">
      <c r="A42" s="0" t="s">
        <v>71</v>
      </c>
      <c r="B42" s="0" t="n">
        <v>182.8</v>
      </c>
      <c r="C42" s="0" t="n">
        <v>70</v>
      </c>
    </row>
    <row r="43" customFormat="false" ht="15" hidden="false" customHeight="false" outlineLevel="0" collapsed="false">
      <c r="A43" s="0" t="s">
        <v>72</v>
      </c>
      <c r="B43" s="0" t="n">
        <v>174</v>
      </c>
      <c r="C43" s="0" t="n">
        <v>74</v>
      </c>
    </row>
    <row r="44" customFormat="false" ht="15" hidden="false" customHeight="false" outlineLevel="0" collapsed="false">
      <c r="A44" s="0" t="s">
        <v>73</v>
      </c>
      <c r="B44" s="0" t="n">
        <v>177</v>
      </c>
      <c r="C44" s="0" t="n">
        <v>74</v>
      </c>
    </row>
    <row r="45" customFormat="false" ht="15" hidden="false" customHeight="false" outlineLevel="0" collapsed="false">
      <c r="A45" s="0" t="s">
        <v>74</v>
      </c>
      <c r="B45" s="0" t="n">
        <v>175.2</v>
      </c>
      <c r="C45" s="0" t="n">
        <v>75</v>
      </c>
    </row>
    <row r="46" customFormat="false" ht="15" hidden="false" customHeight="false" outlineLevel="0" collapsed="false">
      <c r="A46" s="0" t="s">
        <v>75</v>
      </c>
      <c r="B46" s="0" t="n">
        <v>177.8</v>
      </c>
      <c r="C46" s="0" t="n">
        <v>75</v>
      </c>
    </row>
    <row r="47" customFormat="false" ht="15" hidden="false" customHeight="false" outlineLevel="0" collapsed="false">
      <c r="A47" s="0" t="s">
        <v>76</v>
      </c>
      <c r="B47" s="0" t="n">
        <v>182.8</v>
      </c>
      <c r="C47" s="0" t="n">
        <v>75</v>
      </c>
    </row>
    <row r="48" customFormat="false" ht="15" hidden="false" customHeight="false" outlineLevel="0" collapsed="false">
      <c r="A48" s="0" t="s">
        <v>77</v>
      </c>
      <c r="B48" s="0" t="n">
        <v>174</v>
      </c>
      <c r="C48" s="0" t="n">
        <v>76</v>
      </c>
    </row>
    <row r="49" customFormat="false" ht="15" hidden="false" customHeight="false" outlineLevel="0" collapsed="false">
      <c r="A49" s="0" t="s">
        <v>78</v>
      </c>
      <c r="B49" s="0" t="n">
        <v>172</v>
      </c>
      <c r="C49" s="0" t="n">
        <v>78</v>
      </c>
    </row>
    <row r="50" customFormat="false" ht="15" hidden="false" customHeight="false" outlineLevel="0" collapsed="false">
      <c r="A50" s="0" t="s">
        <v>79</v>
      </c>
      <c r="B50" s="0" t="n">
        <v>180</v>
      </c>
      <c r="C50" s="0" t="n">
        <v>78</v>
      </c>
    </row>
    <row r="51" customFormat="false" ht="15" hidden="false" customHeight="false" outlineLevel="0" collapsed="false">
      <c r="A51" s="0" t="s">
        <v>80</v>
      </c>
      <c r="B51" s="0" t="n">
        <v>180.3</v>
      </c>
      <c r="C51" s="0" t="n">
        <v>78</v>
      </c>
    </row>
    <row r="52" customFormat="false" ht="15" hidden="false" customHeight="false" outlineLevel="0" collapsed="false">
      <c r="A52" s="0" t="s">
        <v>81</v>
      </c>
      <c r="B52" s="0" t="n">
        <v>171</v>
      </c>
      <c r="C52" s="0" t="n">
        <v>79</v>
      </c>
    </row>
    <row r="53" customFormat="false" ht="15" hidden="false" customHeight="false" outlineLevel="0" collapsed="false">
      <c r="A53" s="0" t="s">
        <v>82</v>
      </c>
      <c r="B53" s="0" t="n">
        <v>180.3</v>
      </c>
      <c r="C53" s="0" t="n">
        <v>79</v>
      </c>
    </row>
    <row r="54" customFormat="false" ht="15" hidden="false" customHeight="false" outlineLevel="0" collapsed="false">
      <c r="A54" s="0" t="s">
        <v>83</v>
      </c>
      <c r="B54" s="0" t="n">
        <v>172</v>
      </c>
      <c r="C54" s="0" t="n">
        <v>80</v>
      </c>
    </row>
    <row r="55" customFormat="false" ht="15" hidden="false" customHeight="false" outlineLevel="0" collapsed="false">
      <c r="A55" s="0" t="s">
        <v>84</v>
      </c>
      <c r="B55" s="0" t="n">
        <v>175.2</v>
      </c>
      <c r="C55" s="0" t="n">
        <v>80</v>
      </c>
    </row>
    <row r="56" customFormat="false" ht="15" hidden="false" customHeight="false" outlineLevel="0" collapsed="false">
      <c r="A56" s="0" t="s">
        <v>85</v>
      </c>
      <c r="B56" s="0" t="n">
        <v>183</v>
      </c>
      <c r="C56" s="0" t="n">
        <v>83</v>
      </c>
    </row>
    <row r="57" customFormat="false" ht="15" hidden="false" customHeight="false" outlineLevel="0" collapsed="false">
      <c r="A57" s="0" t="s">
        <v>86</v>
      </c>
      <c r="B57" s="0" t="n">
        <v>175</v>
      </c>
      <c r="C57" s="0" t="n">
        <v>85</v>
      </c>
    </row>
    <row r="59" customFormat="false" ht="15" hidden="false" customHeight="false" outlineLevel="0" collapsed="false">
      <c r="A59" s="1" t="s">
        <v>87</v>
      </c>
    </row>
    <row r="60" customFormat="false" ht="15" hidden="false" customHeight="false" outlineLevel="0" collapsed="false">
      <c r="A60" s="1" t="s">
        <v>88</v>
      </c>
      <c r="B60" s="1" t="s">
        <v>89</v>
      </c>
      <c r="C60" s="1" t="s">
        <v>4</v>
      </c>
    </row>
    <row r="61" customFormat="false" ht="30.75" hidden="false" customHeight="false" outlineLevel="0" collapsed="false">
      <c r="A61" s="5" t="s">
        <v>90</v>
      </c>
      <c r="B61" s="5" t="n">
        <v>152</v>
      </c>
      <c r="C61" s="0" t="n">
        <v>40</v>
      </c>
      <c r="F61" s="1" t="s">
        <v>91</v>
      </c>
    </row>
    <row r="62" customFormat="false" ht="32.25" hidden="false" customHeight="false" outlineLevel="0" collapsed="false">
      <c r="A62" s="5" t="s">
        <v>92</v>
      </c>
      <c r="B62" s="5" t="n">
        <v>152.4</v>
      </c>
      <c r="C62" s="0" t="n">
        <v>42</v>
      </c>
      <c r="F62" s="2" t="s">
        <v>5</v>
      </c>
      <c r="G62" s="3"/>
      <c r="H62" s="4" t="s">
        <v>36</v>
      </c>
      <c r="I62" s="4" t="s">
        <v>7</v>
      </c>
      <c r="J62" s="4" t="s">
        <v>8</v>
      </c>
      <c r="K62" s="4" t="s">
        <v>9</v>
      </c>
      <c r="L62" s="4" t="s">
        <v>10</v>
      </c>
    </row>
    <row r="63" customFormat="false" ht="15" hidden="false" customHeight="false" outlineLevel="0" collapsed="false">
      <c r="A63" s="5" t="s">
        <v>93</v>
      </c>
      <c r="B63" s="5" t="n">
        <v>152.4</v>
      </c>
      <c r="C63" s="0" t="n">
        <v>43</v>
      </c>
      <c r="F63" s="0" t="s">
        <v>94</v>
      </c>
      <c r="G63" s="0" t="n">
        <v>151</v>
      </c>
      <c r="H63" s="0" t="n">
        <v>12</v>
      </c>
      <c r="I63" s="0" t="n">
        <v>12</v>
      </c>
      <c r="J63" s="0" t="n">
        <v>1812</v>
      </c>
      <c r="K63" s="0" t="n">
        <v>-8.4898</v>
      </c>
      <c r="L63" s="0" t="n">
        <v>864.92</v>
      </c>
    </row>
    <row r="64" customFormat="false" ht="15" hidden="false" customHeight="false" outlineLevel="0" collapsed="false">
      <c r="A64" s="5" t="s">
        <v>95</v>
      </c>
      <c r="B64" s="5" t="n">
        <v>152.4</v>
      </c>
      <c r="C64" s="0" t="n">
        <v>43</v>
      </c>
      <c r="F64" s="0" t="s">
        <v>96</v>
      </c>
      <c r="G64" s="0" t="n">
        <v>155</v>
      </c>
      <c r="H64" s="0" t="n">
        <v>4</v>
      </c>
      <c r="I64" s="0" t="n">
        <v>16</v>
      </c>
      <c r="J64" s="0" t="n">
        <v>620</v>
      </c>
      <c r="K64" s="0" t="n">
        <v>-4.4898</v>
      </c>
      <c r="L64" s="0" t="n">
        <v>80.633</v>
      </c>
    </row>
    <row r="65" customFormat="false" ht="15" hidden="false" customHeight="false" outlineLevel="0" collapsed="false">
      <c r="A65" s="5" t="s">
        <v>97</v>
      </c>
      <c r="B65" s="5" t="n">
        <v>154.9</v>
      </c>
      <c r="C65" s="0" t="n">
        <v>43</v>
      </c>
      <c r="F65" s="0" t="s">
        <v>98</v>
      </c>
      <c r="G65" s="0" t="n">
        <v>159</v>
      </c>
      <c r="H65" s="0" t="n">
        <v>13</v>
      </c>
      <c r="I65" s="0" t="n">
        <v>29</v>
      </c>
      <c r="J65" s="0" t="n">
        <v>2067</v>
      </c>
      <c r="K65" s="0" t="n">
        <v>-0.4898</v>
      </c>
      <c r="L65" s="0" t="n">
        <v>3.118</v>
      </c>
    </row>
    <row r="66" customFormat="false" ht="15" hidden="false" customHeight="false" outlineLevel="0" collapsed="false">
      <c r="A66" s="5" t="s">
        <v>99</v>
      </c>
      <c r="B66" s="5" t="n">
        <v>158</v>
      </c>
      <c r="C66" s="0" t="n">
        <v>43</v>
      </c>
      <c r="F66" s="0" t="s">
        <v>100</v>
      </c>
      <c r="G66" s="0" t="n">
        <v>163</v>
      </c>
      <c r="H66" s="0" t="n">
        <v>9</v>
      </c>
      <c r="I66" s="0" t="n">
        <v>38</v>
      </c>
      <c r="J66" s="0" t="n">
        <v>1467</v>
      </c>
      <c r="K66" s="0" t="n">
        <v>3.5102</v>
      </c>
      <c r="L66" s="0" t="n">
        <v>110.893</v>
      </c>
    </row>
    <row r="67" customFormat="false" ht="15" hidden="false" customHeight="false" outlineLevel="0" collapsed="false">
      <c r="A67" s="5" t="s">
        <v>101</v>
      </c>
      <c r="B67" s="5" t="n">
        <v>154</v>
      </c>
      <c r="C67" s="0" t="n">
        <v>44</v>
      </c>
      <c r="F67" s="0" t="s">
        <v>102</v>
      </c>
      <c r="G67" s="0" t="n">
        <v>167</v>
      </c>
      <c r="H67" s="0" t="n">
        <v>8</v>
      </c>
      <c r="I67" s="0" t="n">
        <v>46</v>
      </c>
      <c r="J67" s="0" t="n">
        <v>1336</v>
      </c>
      <c r="K67" s="0" t="n">
        <v>7.5102</v>
      </c>
      <c r="L67" s="0" t="n">
        <v>451.224</v>
      </c>
    </row>
    <row r="68" customFormat="false" ht="15" hidden="false" customHeight="false" outlineLevel="0" collapsed="false">
      <c r="A68" s="5" t="s">
        <v>103</v>
      </c>
      <c r="B68" s="5" t="n">
        <v>155</v>
      </c>
      <c r="C68" s="0" t="n">
        <v>45</v>
      </c>
      <c r="F68" s="0" t="s">
        <v>104</v>
      </c>
      <c r="G68" s="0" t="n">
        <v>171</v>
      </c>
      <c r="H68" s="0" t="n">
        <v>3</v>
      </c>
      <c r="I68" s="0" t="n">
        <v>49</v>
      </c>
      <c r="J68" s="0" t="n">
        <v>513</v>
      </c>
      <c r="K68" s="0" t="n">
        <v>11.5102</v>
      </c>
      <c r="L68" s="0" t="n">
        <v>397.454</v>
      </c>
    </row>
    <row r="69" customFormat="false" ht="15" hidden="false" customHeight="false" outlineLevel="0" collapsed="false">
      <c r="A69" s="5" t="s">
        <v>105</v>
      </c>
      <c r="B69" s="5" t="n">
        <v>160</v>
      </c>
      <c r="C69" s="0" t="n">
        <v>45</v>
      </c>
      <c r="H69" s="0" t="n">
        <f aca="false">SUM(H63:H68)</f>
        <v>49</v>
      </c>
      <c r="J69" s="0" t="n">
        <f aca="false">SUM(J63:J68)</f>
        <v>7815</v>
      </c>
      <c r="L69" s="0" t="n">
        <f aca="false">SUM(L63:L68)</f>
        <v>1908.242</v>
      </c>
    </row>
    <row r="70" customFormat="false" ht="15" hidden="false" customHeight="false" outlineLevel="0" collapsed="false">
      <c r="A70" s="5" t="s">
        <v>106</v>
      </c>
      <c r="B70" s="5" t="n">
        <v>160</v>
      </c>
      <c r="C70" s="0" t="n">
        <v>46</v>
      </c>
    </row>
    <row r="71" customFormat="false" ht="15" hidden="false" customHeight="false" outlineLevel="0" collapsed="false">
      <c r="A71" s="5" t="s">
        <v>107</v>
      </c>
      <c r="B71" s="5" t="n">
        <v>149.8</v>
      </c>
      <c r="C71" s="0" t="n">
        <v>47</v>
      </c>
    </row>
    <row r="72" customFormat="false" ht="15" hidden="false" customHeight="false" outlineLevel="0" collapsed="false">
      <c r="A72" s="5" t="s">
        <v>108</v>
      </c>
      <c r="B72" s="5" t="n">
        <v>162.5</v>
      </c>
      <c r="C72" s="0" t="n">
        <v>47</v>
      </c>
    </row>
    <row r="73" customFormat="false" ht="15" hidden="false" customHeight="false" outlineLevel="0" collapsed="false">
      <c r="A73" s="5" t="s">
        <v>109</v>
      </c>
      <c r="B73" s="5" t="n">
        <v>166</v>
      </c>
      <c r="C73" s="0" t="n">
        <v>47</v>
      </c>
      <c r="H73" s="0" t="s">
        <v>110</v>
      </c>
      <c r="I73" s="0" t="n">
        <f aca="false">J69/H69</f>
        <v>159.489795918367</v>
      </c>
    </row>
    <row r="74" customFormat="false" ht="15" hidden="false" customHeight="false" outlineLevel="0" collapsed="false">
      <c r="A74" s="5" t="s">
        <v>111</v>
      </c>
      <c r="B74" s="5" t="n">
        <v>157.4</v>
      </c>
      <c r="C74" s="0" t="n">
        <v>48</v>
      </c>
      <c r="H74" s="0" t="s">
        <v>30</v>
      </c>
      <c r="I74" s="0" t="n">
        <f aca="false">SQRT(L69/H69)</f>
        <v>6.24048990750841</v>
      </c>
    </row>
    <row r="75" customFormat="false" ht="15" hidden="false" customHeight="false" outlineLevel="0" collapsed="false">
      <c r="A75" s="5" t="s">
        <v>112</v>
      </c>
      <c r="B75" s="5" t="n">
        <v>159</v>
      </c>
      <c r="C75" s="0" t="n">
        <v>49</v>
      </c>
    </row>
    <row r="76" customFormat="false" ht="15.75" hidden="false" customHeight="false" outlineLevel="0" collapsed="false">
      <c r="A76" s="5" t="s">
        <v>113</v>
      </c>
      <c r="B76" s="5" t="n">
        <v>149.8</v>
      </c>
      <c r="C76" s="0" t="n">
        <v>50</v>
      </c>
      <c r="F76" s="1" t="s">
        <v>114</v>
      </c>
    </row>
    <row r="77" customFormat="false" ht="32.25" hidden="false" customHeight="false" outlineLevel="0" collapsed="false">
      <c r="A77" s="5" t="s">
        <v>115</v>
      </c>
      <c r="B77" s="5" t="n">
        <v>152.4</v>
      </c>
      <c r="C77" s="0" t="n">
        <v>50</v>
      </c>
      <c r="F77" s="2" t="s">
        <v>5</v>
      </c>
      <c r="G77" s="3"/>
      <c r="H77" s="4" t="s">
        <v>36</v>
      </c>
      <c r="I77" s="4" t="s">
        <v>7</v>
      </c>
      <c r="J77" s="4" t="s">
        <v>8</v>
      </c>
      <c r="K77" s="4" t="s">
        <v>9</v>
      </c>
      <c r="L77" s="4" t="s">
        <v>10</v>
      </c>
    </row>
    <row r="78" customFormat="false" ht="15" hidden="false" customHeight="false" outlineLevel="0" collapsed="false">
      <c r="A78" s="5" t="s">
        <v>116</v>
      </c>
      <c r="B78" s="5" t="n">
        <v>160</v>
      </c>
      <c r="C78" s="0" t="n">
        <v>50</v>
      </c>
      <c r="F78" s="0" t="s">
        <v>117</v>
      </c>
      <c r="G78" s="0" t="n">
        <v>42</v>
      </c>
      <c r="H78" s="0" t="n">
        <v>7</v>
      </c>
      <c r="I78" s="0" t="n">
        <v>7</v>
      </c>
      <c r="J78" s="0" t="n">
        <v>294</v>
      </c>
      <c r="K78" s="0" t="n">
        <v>-10.081</v>
      </c>
      <c r="L78" s="0" t="n">
        <v>711.385</v>
      </c>
    </row>
    <row r="79" customFormat="false" ht="15" hidden="false" customHeight="false" outlineLevel="0" collapsed="false">
      <c r="A79" s="5" t="s">
        <v>118</v>
      </c>
      <c r="B79" s="5" t="n">
        <v>162</v>
      </c>
      <c r="C79" s="0" t="n">
        <v>51</v>
      </c>
      <c r="F79" s="0" t="s">
        <v>119</v>
      </c>
      <c r="G79" s="0" t="n">
        <v>46</v>
      </c>
      <c r="H79" s="0" t="n">
        <v>7</v>
      </c>
      <c r="I79" s="0" t="n">
        <v>14</v>
      </c>
      <c r="J79" s="0" t="n">
        <v>232</v>
      </c>
      <c r="K79" s="0" t="n">
        <v>-6.081</v>
      </c>
      <c r="L79" s="0" t="n">
        <v>258.849</v>
      </c>
    </row>
    <row r="80" customFormat="false" ht="15" hidden="false" customHeight="false" outlineLevel="0" collapsed="false">
      <c r="A80" s="5" t="s">
        <v>120</v>
      </c>
      <c r="B80" s="5" t="n">
        <v>152.4</v>
      </c>
      <c r="C80" s="0" t="n">
        <v>52</v>
      </c>
      <c r="F80" s="0" t="s">
        <v>121</v>
      </c>
      <c r="G80" s="0" t="n">
        <v>50</v>
      </c>
      <c r="H80" s="0" t="n">
        <v>10</v>
      </c>
      <c r="I80" s="0" t="n">
        <v>24</v>
      </c>
      <c r="J80" s="0" t="n">
        <v>500</v>
      </c>
      <c r="K80" s="0" t="n">
        <v>-2.081</v>
      </c>
      <c r="L80" s="0" t="n">
        <v>43.305</v>
      </c>
    </row>
    <row r="81" customFormat="false" ht="15" hidden="false" customHeight="false" outlineLevel="0" collapsed="false">
      <c r="A81" s="5" t="s">
        <v>122</v>
      </c>
      <c r="B81" s="5" t="n">
        <v>157.4</v>
      </c>
      <c r="C81" s="0" t="n">
        <v>52</v>
      </c>
      <c r="F81" s="0" t="s">
        <v>123</v>
      </c>
      <c r="G81" s="0" t="n">
        <v>54</v>
      </c>
      <c r="H81" s="0" t="n">
        <v>8</v>
      </c>
      <c r="I81" s="0" t="n">
        <v>32</v>
      </c>
      <c r="J81" s="0" t="n">
        <v>432</v>
      </c>
      <c r="K81" s="0" t="n">
        <v>1.918</v>
      </c>
      <c r="L81" s="0" t="n">
        <v>29.429</v>
      </c>
    </row>
    <row r="82" customFormat="false" ht="15" hidden="false" customHeight="false" outlineLevel="0" collapsed="false">
      <c r="A82" s="5" t="s">
        <v>124</v>
      </c>
      <c r="B82" s="5" t="n">
        <v>158</v>
      </c>
      <c r="C82" s="0" t="n">
        <v>52</v>
      </c>
      <c r="F82" s="0" t="s">
        <v>125</v>
      </c>
      <c r="G82" s="0" t="n">
        <v>58</v>
      </c>
      <c r="H82" s="0" t="n">
        <v>8</v>
      </c>
      <c r="I82" s="0" t="n">
        <v>40</v>
      </c>
      <c r="J82" s="0" t="n">
        <v>464</v>
      </c>
      <c r="K82" s="0" t="n">
        <v>5.918</v>
      </c>
      <c r="L82" s="0" t="n">
        <v>280.181</v>
      </c>
    </row>
    <row r="83" customFormat="false" ht="15" hidden="false" customHeight="false" outlineLevel="0" collapsed="false">
      <c r="A83" s="5" t="s">
        <v>126</v>
      </c>
      <c r="B83" s="5" t="n">
        <v>164</v>
      </c>
      <c r="C83" s="0" t="n">
        <v>52</v>
      </c>
      <c r="F83" s="0" t="s">
        <v>127</v>
      </c>
      <c r="G83" s="0" t="n">
        <v>62</v>
      </c>
      <c r="H83" s="0" t="n">
        <v>0</v>
      </c>
      <c r="I83" s="0" t="n">
        <v>40</v>
      </c>
      <c r="J83" s="0" t="n">
        <v>0</v>
      </c>
      <c r="K83" s="0" t="n">
        <v>9.918</v>
      </c>
      <c r="L83" s="0" t="n">
        <v>0</v>
      </c>
    </row>
    <row r="84" customFormat="false" ht="15" hidden="false" customHeight="false" outlineLevel="0" collapsed="false">
      <c r="A84" s="5" t="s">
        <v>128</v>
      </c>
      <c r="B84" s="5" t="n">
        <v>165.1</v>
      </c>
      <c r="C84" s="0" t="n">
        <v>52</v>
      </c>
      <c r="F84" s="0" t="s">
        <v>129</v>
      </c>
      <c r="G84" s="0" t="n">
        <v>66</v>
      </c>
      <c r="H84" s="0" t="n">
        <v>2</v>
      </c>
      <c r="I84" s="0" t="n">
        <v>42</v>
      </c>
      <c r="J84" s="0" t="n">
        <v>132</v>
      </c>
      <c r="K84" s="0" t="n">
        <v>13.918</v>
      </c>
      <c r="L84" s="0" t="n">
        <v>387.421</v>
      </c>
    </row>
    <row r="85" customFormat="false" ht="15" hidden="false" customHeight="false" outlineLevel="0" collapsed="false">
      <c r="A85" s="5" t="s">
        <v>130</v>
      </c>
      <c r="B85" s="5" t="n">
        <v>152.4</v>
      </c>
      <c r="C85" s="0" t="n">
        <v>53</v>
      </c>
      <c r="F85" s="0" t="s">
        <v>131</v>
      </c>
      <c r="G85" s="0" t="n">
        <v>70</v>
      </c>
      <c r="H85" s="0" t="n">
        <v>6</v>
      </c>
      <c r="I85" s="0" t="n">
        <v>48</v>
      </c>
      <c r="J85" s="0" t="n">
        <v>420</v>
      </c>
      <c r="K85" s="0" t="n">
        <v>17.918</v>
      </c>
      <c r="L85" s="0" t="n">
        <v>1926.328</v>
      </c>
    </row>
    <row r="86" customFormat="false" ht="15" hidden="false" customHeight="false" outlineLevel="0" collapsed="false">
      <c r="A86" s="5" t="s">
        <v>132</v>
      </c>
      <c r="B86" s="5" t="n">
        <v>163</v>
      </c>
      <c r="C86" s="0" t="n">
        <v>53</v>
      </c>
      <c r="F86" s="0" t="s">
        <v>133</v>
      </c>
      <c r="G86" s="0" t="n">
        <v>74</v>
      </c>
      <c r="H86" s="0" t="n">
        <v>0</v>
      </c>
      <c r="I86" s="0" t="n">
        <v>48</v>
      </c>
      <c r="J86" s="0" t="n">
        <v>0</v>
      </c>
      <c r="K86" s="0" t="n">
        <v>21.918</v>
      </c>
      <c r="L86" s="0" t="n">
        <v>0</v>
      </c>
    </row>
    <row r="87" customFormat="false" ht="15" hidden="false" customHeight="false" outlineLevel="0" collapsed="false">
      <c r="A87" s="5" t="s">
        <v>134</v>
      </c>
      <c r="B87" s="5" t="n">
        <v>167.6</v>
      </c>
      <c r="C87" s="0" t="n">
        <v>53</v>
      </c>
      <c r="F87" s="0" t="s">
        <v>135</v>
      </c>
      <c r="G87" s="0" t="n">
        <v>78</v>
      </c>
      <c r="H87" s="0" t="n">
        <v>1</v>
      </c>
      <c r="I87" s="0" t="n">
        <v>49</v>
      </c>
      <c r="J87" s="0" t="n">
        <v>78</v>
      </c>
      <c r="K87" s="0" t="n">
        <v>25.918</v>
      </c>
      <c r="L87" s="0" t="n">
        <v>671.742</v>
      </c>
    </row>
    <row r="88" customFormat="false" ht="15" hidden="false" customHeight="false" outlineLevel="0" collapsed="false">
      <c r="A88" s="5" t="s">
        <v>136</v>
      </c>
      <c r="B88" s="5" t="n">
        <v>157</v>
      </c>
      <c r="C88" s="0" t="n">
        <v>55</v>
      </c>
      <c r="H88" s="0" t="n">
        <f aca="false">SUM(H78:H87)</f>
        <v>49</v>
      </c>
      <c r="J88" s="0" t="n">
        <f aca="false">SUM(J78:J87)</f>
        <v>2552</v>
      </c>
      <c r="L88" s="0" t="n">
        <f aca="false">SUM(L78:L87)</f>
        <v>4308.64</v>
      </c>
    </row>
    <row r="89" customFormat="false" ht="15" hidden="false" customHeight="false" outlineLevel="0" collapsed="false">
      <c r="A89" s="5" t="s">
        <v>137</v>
      </c>
      <c r="B89" s="5" t="n">
        <v>160</v>
      </c>
      <c r="C89" s="0" t="n">
        <v>55</v>
      </c>
    </row>
    <row r="90" customFormat="false" ht="15" hidden="false" customHeight="false" outlineLevel="0" collapsed="false">
      <c r="A90" s="5" t="s">
        <v>138</v>
      </c>
      <c r="B90" s="5" t="n">
        <v>165</v>
      </c>
      <c r="C90" s="0" t="n">
        <v>55</v>
      </c>
    </row>
    <row r="91" customFormat="false" ht="45" hidden="false" customHeight="false" outlineLevel="0" collapsed="false">
      <c r="A91" s="5" t="s">
        <v>139</v>
      </c>
      <c r="B91" s="5" t="n">
        <v>165.1</v>
      </c>
      <c r="C91" s="0" t="n">
        <v>55</v>
      </c>
      <c r="H91" s="0" t="s">
        <v>140</v>
      </c>
      <c r="I91" s="0" t="n">
        <f aca="false">J88/H88</f>
        <v>52.0816326530612</v>
      </c>
    </row>
    <row r="92" customFormat="false" ht="15" hidden="false" customHeight="false" outlineLevel="0" collapsed="false">
      <c r="A92" s="5" t="s">
        <v>141</v>
      </c>
      <c r="B92" s="5" t="n">
        <v>166</v>
      </c>
      <c r="C92" s="0" t="n">
        <v>55</v>
      </c>
      <c r="H92" s="0" t="s">
        <v>30</v>
      </c>
      <c r="I92" s="0" t="n">
        <f aca="false">SQRT(L88/H88)</f>
        <v>9.37717593795854</v>
      </c>
    </row>
    <row r="93" customFormat="false" ht="15" hidden="false" customHeight="false" outlineLevel="0" collapsed="false">
      <c r="A93" s="5" t="s">
        <v>142</v>
      </c>
      <c r="B93" s="5" t="n">
        <v>152.4</v>
      </c>
      <c r="C93" s="0" t="n">
        <v>57</v>
      </c>
    </row>
    <row r="94" customFormat="false" ht="15" hidden="false" customHeight="false" outlineLevel="0" collapsed="false">
      <c r="A94" s="5" t="s">
        <v>143</v>
      </c>
      <c r="B94" s="5" t="n">
        <v>160</v>
      </c>
      <c r="C94" s="0" t="n">
        <v>57</v>
      </c>
    </row>
    <row r="95" customFormat="false" ht="15" hidden="false" customHeight="false" outlineLevel="0" collapsed="false">
      <c r="A95" s="5" t="s">
        <v>142</v>
      </c>
      <c r="B95" s="5" t="n">
        <v>162.5</v>
      </c>
      <c r="C95" s="0" t="n">
        <v>57</v>
      </c>
    </row>
    <row r="96" customFormat="false" ht="15" hidden="false" customHeight="false" outlineLevel="0" collapsed="false">
      <c r="A96" s="5" t="s">
        <v>144</v>
      </c>
      <c r="B96" s="5" t="n">
        <v>162.5</v>
      </c>
      <c r="C96" s="0" t="n">
        <v>57</v>
      </c>
    </row>
    <row r="97" customFormat="false" ht="15" hidden="false" customHeight="false" outlineLevel="0" collapsed="false">
      <c r="A97" s="5" t="s">
        <v>145</v>
      </c>
      <c r="B97" s="5" t="n">
        <v>152.4</v>
      </c>
      <c r="C97" s="0" t="n">
        <v>58</v>
      </c>
    </row>
    <row r="98" customFormat="false" ht="15" hidden="false" customHeight="false" outlineLevel="0" collapsed="false">
      <c r="A98" s="5" t="s">
        <v>146</v>
      </c>
      <c r="B98" s="5" t="n">
        <v>162</v>
      </c>
      <c r="C98" s="0" t="n">
        <v>59</v>
      </c>
    </row>
    <row r="99" customFormat="false" ht="15" hidden="false" customHeight="false" outlineLevel="0" collapsed="false">
      <c r="A99" s="5" t="s">
        <v>147</v>
      </c>
      <c r="B99" s="5" t="n">
        <v>162.5</v>
      </c>
      <c r="C99" s="0" t="n">
        <v>59</v>
      </c>
    </row>
    <row r="100" customFormat="false" ht="15" hidden="false" customHeight="false" outlineLevel="0" collapsed="false">
      <c r="A100" s="5" t="s">
        <v>148</v>
      </c>
      <c r="B100" s="5" t="n">
        <v>167.6</v>
      </c>
      <c r="C100" s="0" t="n">
        <v>59</v>
      </c>
    </row>
    <row r="101" customFormat="false" ht="15" hidden="false" customHeight="false" outlineLevel="0" collapsed="false">
      <c r="A101" s="5" t="s">
        <v>149</v>
      </c>
      <c r="B101" s="5" t="n">
        <v>159</v>
      </c>
      <c r="C101" s="0" t="n">
        <v>65</v>
      </c>
    </row>
    <row r="102" customFormat="false" ht="15" hidden="false" customHeight="false" outlineLevel="0" collapsed="false">
      <c r="A102" s="5" t="s">
        <v>150</v>
      </c>
      <c r="B102" s="5" t="n">
        <v>167.6</v>
      </c>
      <c r="C102" s="0" t="n">
        <v>66</v>
      </c>
    </row>
    <row r="103" customFormat="false" ht="15" hidden="false" customHeight="false" outlineLevel="0" collapsed="false">
      <c r="A103" s="5" t="s">
        <v>151</v>
      </c>
      <c r="B103" s="5" t="n">
        <v>167.6</v>
      </c>
      <c r="C103" s="0" t="n">
        <v>69</v>
      </c>
    </row>
    <row r="104" customFormat="false" ht="15" hidden="false" customHeight="false" outlineLevel="0" collapsed="false">
      <c r="A104" s="5" t="s">
        <v>152</v>
      </c>
      <c r="B104" s="5" t="n">
        <v>170.1</v>
      </c>
      <c r="C104" s="0" t="n">
        <v>69</v>
      </c>
    </row>
    <row r="105" customFormat="false" ht="15" hidden="false" customHeight="false" outlineLevel="0" collapsed="false">
      <c r="A105" s="5" t="s">
        <v>153</v>
      </c>
      <c r="B105" s="5" t="n">
        <v>160</v>
      </c>
      <c r="C105" s="0" t="n">
        <v>70</v>
      </c>
    </row>
    <row r="106" customFormat="false" ht="15" hidden="false" customHeight="false" outlineLevel="0" collapsed="false">
      <c r="A106" s="5" t="s">
        <v>154</v>
      </c>
      <c r="B106" s="5" t="n">
        <v>170</v>
      </c>
      <c r="C106" s="0" t="n">
        <v>70</v>
      </c>
    </row>
    <row r="107" customFormat="false" ht="15" hidden="false" customHeight="false" outlineLevel="0" collapsed="false">
      <c r="A107" s="5" t="s">
        <v>155</v>
      </c>
      <c r="B107" s="5" t="n">
        <v>173</v>
      </c>
      <c r="C107" s="0" t="n">
        <v>71</v>
      </c>
    </row>
    <row r="108" customFormat="false" ht="15" hidden="false" customHeight="false" outlineLevel="0" collapsed="false">
      <c r="A108" s="5" t="s">
        <v>156</v>
      </c>
      <c r="B108" s="5" t="n">
        <v>158</v>
      </c>
      <c r="C108" s="0" t="n">
        <v>72</v>
      </c>
    </row>
    <row r="109" customFormat="false" ht="15" hidden="false" customHeight="false" outlineLevel="0" collapsed="false">
      <c r="A109" s="5" t="s">
        <v>157</v>
      </c>
      <c r="B109" s="5" t="n">
        <v>152</v>
      </c>
      <c r="C109" s="0" t="n">
        <v>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2021-03-05T08:27:04Z</dcterms:created>
  <dc:creator>user</dc:creator>
  <dc:description/>
  <dc:language>en-IN</dc:language>
  <cp:lastModifiedBy/>
  <dcterms:modified xsi:type="dcterms:W3CDTF">2022-03-04T13:12:10Z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